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Gnn\"/>
    </mc:Choice>
  </mc:AlternateContent>
  <xr:revisionPtr revIDLastSave="0" documentId="13_ncr:1_{37A5EDF0-9538-490A-A0DD-B70BB80A124F}" xr6:coauthVersionLast="47" xr6:coauthVersionMax="47" xr10:uidLastSave="{00000000-0000-0000-0000-000000000000}"/>
  <bookViews>
    <workbookView xWindow="11088" yWindow="1896" windowWidth="15048" windowHeight="1207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13" i="1" s="1"/>
  <c r="D14" i="1" s="1"/>
  <c r="D15" i="1" s="1"/>
  <c r="D16" i="1" s="1"/>
  <c r="D17" i="1" s="1"/>
  <c r="D18" i="1" s="1"/>
  <c r="D4" i="1" l="1"/>
  <c r="D19" i="1" l="1"/>
  <c r="D20" i="1" s="1"/>
  <c r="D21" i="1" s="1"/>
  <c r="D22" i="1" s="1"/>
  <c r="D23" i="1" s="1"/>
  <c r="D24" i="1" s="1"/>
  <c r="D5" i="1"/>
  <c r="D6" i="1" l="1"/>
  <c r="D25" i="1"/>
  <c r="D26" i="1" s="1"/>
  <c r="D27" i="1" s="1"/>
  <c r="D28" i="1" s="1"/>
  <c r="D29" i="1" s="1"/>
  <c r="D30" i="1" s="1"/>
  <c r="D7" i="1" l="1"/>
  <c r="D31" i="1"/>
  <c r="D32" i="1" s="1"/>
  <c r="D33" i="1" s="1"/>
  <c r="D34" i="1" s="1"/>
  <c r="D35" i="1" s="1"/>
  <c r="D36" i="1" s="1"/>
  <c r="D8" i="1" l="1"/>
  <c r="D37" i="1"/>
  <c r="D38" i="1" s="1"/>
  <c r="D39" i="1" s="1"/>
  <c r="D40" i="1" s="1"/>
  <c r="D41" i="1" s="1"/>
  <c r="D42" i="1" s="1"/>
  <c r="D9" i="1" l="1"/>
  <c r="D43" i="1"/>
  <c r="D44" i="1" s="1"/>
  <c r="D45" i="1" s="1"/>
  <c r="D46" i="1" s="1"/>
  <c r="D47" i="1" s="1"/>
  <c r="D48" i="1" s="1"/>
  <c r="D10" i="1" l="1"/>
  <c r="D49" i="1"/>
  <c r="D50" i="1" s="1"/>
  <c r="D51" i="1" s="1"/>
  <c r="D52" i="1" s="1"/>
  <c r="D53" i="1" s="1"/>
  <c r="D54" i="1" s="1"/>
  <c r="D11" i="1" l="1"/>
  <c r="D55" i="1"/>
  <c r="D56" i="1" s="1"/>
  <c r="D57" i="1" s="1"/>
  <c r="D58" i="1" s="1"/>
  <c r="D59" i="1" s="1"/>
  <c r="D60" i="1" s="1"/>
  <c r="D12" i="1" l="1"/>
  <c r="D67" i="1" s="1"/>
  <c r="D68" i="1" s="1"/>
  <c r="D69" i="1" s="1"/>
  <c r="D70" i="1" s="1"/>
  <c r="D71" i="1" s="1"/>
  <c r="D72" i="1" s="1"/>
  <c r="D61" i="1"/>
  <c r="D62" i="1" s="1"/>
  <c r="D63" i="1" s="1"/>
  <c r="D64" i="1" s="1"/>
  <c r="D65" i="1" s="1"/>
  <c r="D66" i="1" s="1"/>
</calcChain>
</file>

<file path=xl/sharedStrings.xml><?xml version="1.0" encoding="utf-8"?>
<sst xmlns="http://schemas.openxmlformats.org/spreadsheetml/2006/main" count="147" uniqueCount="78">
  <si>
    <t>Nodel ID</t>
    <phoneticPr fontId="1" type="noConversion"/>
  </si>
  <si>
    <t>X</t>
    <phoneticPr fontId="1" type="noConversion"/>
  </si>
  <si>
    <t>Y</t>
    <phoneticPr fontId="1" type="noConversion"/>
  </si>
  <si>
    <t>Z</t>
    <phoneticPr fontId="1" type="noConversion"/>
  </si>
  <si>
    <t>J0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</si>
  <si>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</si>
  <si>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</si>
  <si>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</si>
  <si>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</si>
  <si>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</si>
  <si>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</si>
  <si>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</si>
  <si>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</si>
  <si>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</si>
  <si>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</si>
  <si>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</si>
  <si>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</si>
  <si>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</si>
  <si>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</si>
  <si>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</si>
  <si>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</si>
  <si>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J21</t>
  </si>
  <si>
    <t>J22</t>
  </si>
  <si>
    <t>J23</t>
  </si>
  <si>
    <t>J24</t>
  </si>
  <si>
    <t>J25</t>
  </si>
  <si>
    <t>J26</t>
  </si>
  <si>
    <t>J31</t>
  </si>
  <si>
    <t>J32</t>
  </si>
  <si>
    <t>J33</t>
  </si>
  <si>
    <t>J34</t>
  </si>
  <si>
    <t>J35</t>
  </si>
  <si>
    <t>J36</t>
  </si>
  <si>
    <t>J41</t>
  </si>
  <si>
    <t>J42</t>
  </si>
  <si>
    <t>J43</t>
  </si>
  <si>
    <t>J44</t>
  </si>
  <si>
    <t>J45</t>
  </si>
  <si>
    <t>J46</t>
  </si>
  <si>
    <t>J51</t>
  </si>
  <si>
    <t>J52</t>
  </si>
  <si>
    <t>J53</t>
  </si>
  <si>
    <t>J54</t>
  </si>
  <si>
    <t>J55</t>
  </si>
  <si>
    <t>J56</t>
  </si>
  <si>
    <t>J61</t>
  </si>
  <si>
    <t>J62</t>
  </si>
  <si>
    <t>J63</t>
  </si>
  <si>
    <t>J64</t>
  </si>
  <si>
    <t>J65</t>
  </si>
  <si>
    <t>J66</t>
  </si>
  <si>
    <t>J71</t>
  </si>
  <si>
    <t>J72</t>
  </si>
  <si>
    <t>J73</t>
  </si>
  <si>
    <t>J74</t>
  </si>
  <si>
    <t>J75</t>
  </si>
  <si>
    <t>J76</t>
  </si>
  <si>
    <t>J81</t>
  </si>
  <si>
    <t>J82</t>
  </si>
  <si>
    <t>J83</t>
  </si>
  <si>
    <t>J84</t>
  </si>
  <si>
    <t>J85</t>
  </si>
  <si>
    <t>J86</t>
  </si>
  <si>
    <t>J91</t>
  </si>
  <si>
    <t>J92</t>
  </si>
  <si>
    <t>J93</t>
  </si>
  <si>
    <t>J94</t>
  </si>
  <si>
    <t>J95</t>
  </si>
  <si>
    <t>J96</t>
  </si>
  <si>
    <t>水库</t>
    <phoneticPr fontId="1" type="noConversion"/>
  </si>
  <si>
    <t>球阀</t>
    <phoneticPr fontId="1" type="noConversion"/>
  </si>
  <si>
    <t>J101</t>
    <phoneticPr fontId="1" type="noConversion"/>
  </si>
  <si>
    <t>J102</t>
    <phoneticPr fontId="1" type="noConversion"/>
  </si>
  <si>
    <t>J103</t>
    <phoneticPr fontId="1" type="noConversion"/>
  </si>
  <si>
    <t>J104</t>
    <phoneticPr fontId="1" type="noConversion"/>
  </si>
  <si>
    <t>J105</t>
    <phoneticPr fontId="1" type="noConversion"/>
  </si>
  <si>
    <t>J106</t>
    <phoneticPr fontId="1" type="noConversion"/>
  </si>
  <si>
    <t>Node 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</si>
</sst>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"/>
  <sheetViews>
    <sheetView tabSelected="1" workbookViewId="0"/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77</v>
      </c>
    </row>
    <row r="2" spans="1:5" x14ac:dyDescent="0.25">
      <c r="A2" t="s">
        <v>4</v>
      </c>
      <c r="B2">
        <v>0</v>
      </c>
      <c r="C2">
        <v>0</v>
      </c>
      <c r="D2">
        <v>0</v>
      </c>
      <c r="E2" t="s">
        <v>69</v>
      </c>
    </row>
    <row r="3" spans="1:5" x14ac:dyDescent="0.25">
      <c r="A3" t="s">
        <v>5</v>
      </c>
      <c r="B3">
        <v>50</v>
      </c>
      <c r="C3">
        <v>0</v>
      </c>
      <c r="D3">
        <f>0-B3*0.0039</f>
        <v>-0.19499999999999998</v>
      </c>
      <c r="E3" t="s">
        <v>70</v>
      </c>
    </row>
    <row r="4" spans="1:5" x14ac:dyDescent="0.25">
      <c r="A4" t="s">
        <v>6</v>
      </c>
      <c r="B4">
        <v>150</v>
      </c>
      <c r="C4">
        <v>0</v>
      </c>
      <c r="D4">
        <f>D3-100*0.0039</f>
        <v>-0.58499999999999996</v>
      </c>
      <c r="E4" t="s">
        <v>70</v>
      </c>
    </row>
    <row r="5" spans="1:5" x14ac:dyDescent="0.25">
      <c r="A5" t="s">
        <v>7</v>
      </c>
      <c r="B5">
        <v>250</v>
      </c>
      <c r="C5">
        <v>0</v>
      </c>
      <c r="D5">
        <f t="shared" ref="D5:D12" si="0">D4-100*0.0039</f>
        <v>-0.97499999999999987</v>
      </c>
      <c r="E5" t="s">
        <v>70</v>
      </c>
    </row>
    <row r="6" spans="1:5" x14ac:dyDescent="0.25">
      <c r="A6" t="s">
        <v>8</v>
      </c>
      <c r="B6">
        <v>350</v>
      </c>
      <c r="C6">
        <v>0</v>
      </c>
      <c r="D6">
        <f t="shared" si="0"/>
        <v>-1.3649999999999998</v>
      </c>
      <c r="E6" t="s">
        <v>70</v>
      </c>
    </row>
    <row r="7" spans="1:5" x14ac:dyDescent="0.25">
      <c r="A7" t="s">
        <v>9</v>
      </c>
      <c r="B7">
        <v>450</v>
      </c>
      <c r="C7">
        <v>0</v>
      </c>
      <c r="D7">
        <f t="shared" si="0"/>
        <v>-1.7549999999999997</v>
      </c>
      <c r="E7" t="s">
        <v>70</v>
      </c>
    </row>
    <row r="8" spans="1:5" x14ac:dyDescent="0.25">
      <c r="A8" t="s">
        <v>10</v>
      </c>
      <c r="B8">
        <v>550</v>
      </c>
      <c r="C8">
        <v>0</v>
      </c>
      <c r="D8">
        <f t="shared" si="0"/>
        <v>-2.1449999999999996</v>
      </c>
      <c r="E8" t="s">
        <v>70</v>
      </c>
    </row>
    <row r="9" spans="1:5" x14ac:dyDescent="0.25">
      <c r="A9" t="s">
        <v>11</v>
      </c>
      <c r="B9">
        <v>650</v>
      </c>
      <c r="C9">
        <v>0</v>
      </c>
      <c r="D9">
        <f t="shared" si="0"/>
        <v>-2.5349999999999997</v>
      </c>
      <c r="E9" t="s">
        <v>70</v>
      </c>
    </row>
    <row r="10" spans="1:5" x14ac:dyDescent="0.25">
      <c r="A10" t="s">
        <v>12</v>
      </c>
      <c r="B10">
        <v>750</v>
      </c>
      <c r="C10">
        <v>0</v>
      </c>
      <c r="D10">
        <f t="shared" si="0"/>
        <v>-2.9249999999999998</v>
      </c>
      <c r="E10" t="s">
        <v>70</v>
      </c>
    </row>
    <row r="11" spans="1:5" x14ac:dyDescent="0.25">
      <c r="A11" t="s">
        <v>13</v>
      </c>
      <c r="B11">
        <v>850</v>
      </c>
      <c r="C11">
        <v>0</v>
      </c>
      <c r="D11">
        <f t="shared" si="0"/>
        <v>-3.3149999999999999</v>
      </c>
      <c r="E11" t="s">
        <v>70</v>
      </c>
    </row>
    <row r="12" spans="1:5" x14ac:dyDescent="0.25">
      <c r="A12" t="s">
        <v>14</v>
      </c>
      <c r="B12">
        <v>950</v>
      </c>
      <c r="C12">
        <v>0</v>
      </c>
      <c r="D12">
        <f t="shared" si="0"/>
        <v>-3.7050000000000001</v>
      </c>
      <c r="E12" t="s">
        <v>70</v>
      </c>
    </row>
    <row r="13" spans="1:5" x14ac:dyDescent="0.25">
      <c r="A13" t="s">
        <v>15</v>
      </c>
      <c r="B13">
        <v>50</v>
      </c>
      <c r="C13">
        <v>-50</v>
      </c>
      <c r="D13">
        <f>D3-B13*0.006</f>
        <v>-0.495</v>
      </c>
      <c r="E13" t="s">
        <v>70</v>
      </c>
    </row>
    <row r="14" spans="1:5" x14ac:dyDescent="0.25">
      <c r="A14" t="s">
        <v>16</v>
      </c>
      <c r="B14">
        <v>50</v>
      </c>
      <c r="C14">
        <v>-150</v>
      </c>
      <c r="D14">
        <f>D13-100*0.006</f>
        <v>-1.095</v>
      </c>
      <c r="E14" t="s">
        <v>70</v>
      </c>
    </row>
    <row r="15" spans="1:5" x14ac:dyDescent="0.25">
      <c r="A15" t="s">
        <v>17</v>
      </c>
      <c r="B15">
        <v>50</v>
      </c>
      <c r="C15">
        <v>-250</v>
      </c>
      <c r="D15">
        <f t="shared" ref="D15:D18" si="1">D14-100*0.006</f>
        <v>-1.6949999999999998</v>
      </c>
      <c r="E15" t="s">
        <v>70</v>
      </c>
    </row>
    <row r="16" spans="1:5" x14ac:dyDescent="0.25">
      <c r="A16" t="s">
        <v>18</v>
      </c>
      <c r="B16">
        <v>50</v>
      </c>
      <c r="C16">
        <v>-350</v>
      </c>
      <c r="D16">
        <f t="shared" si="1"/>
        <v>-2.2949999999999999</v>
      </c>
      <c r="E16" t="s">
        <v>70</v>
      </c>
    </row>
    <row r="17" spans="1:5" x14ac:dyDescent="0.25">
      <c r="A17" t="s">
        <v>19</v>
      </c>
      <c r="B17">
        <v>50</v>
      </c>
      <c r="C17">
        <v>-450</v>
      </c>
      <c r="D17">
        <f t="shared" si="1"/>
        <v>-2.895</v>
      </c>
      <c r="E17" t="s">
        <v>70</v>
      </c>
    </row>
    <row r="18" spans="1:5" x14ac:dyDescent="0.25">
      <c r="A18" t="s">
        <v>20</v>
      </c>
      <c r="B18">
        <v>50</v>
      </c>
      <c r="C18">
        <v>-550</v>
      </c>
      <c r="D18">
        <f t="shared" si="1"/>
        <v>-3.4950000000000001</v>
      </c>
      <c r="E18" t="s">
        <v>70</v>
      </c>
    </row>
    <row r="19" spans="1:5" x14ac:dyDescent="0.25">
      <c r="A19" t="s">
        <v>21</v>
      </c>
      <c r="B19">
        <v>150</v>
      </c>
      <c r="C19">
        <v>-50</v>
      </c>
      <c r="D19">
        <f>D4-50*0.006</f>
        <v>-0.88500000000000001</v>
      </c>
      <c r="E19" t="s">
        <v>70</v>
      </c>
    </row>
    <row r="20" spans="1:5" x14ac:dyDescent="0.25">
      <c r="A20" t="s">
        <v>22</v>
      </c>
      <c r="B20">
        <v>150</v>
      </c>
      <c r="C20">
        <v>-150</v>
      </c>
      <c r="D20">
        <f>D19-100*0.006</f>
        <v>-1.4849999999999999</v>
      </c>
      <c r="E20" t="s">
        <v>70</v>
      </c>
    </row>
    <row r="21" spans="1:5" x14ac:dyDescent="0.25">
      <c r="A21" t="s">
        <v>23</v>
      </c>
      <c r="B21">
        <v>150</v>
      </c>
      <c r="C21">
        <v>-250</v>
      </c>
      <c r="D21">
        <f t="shared" ref="D21:D24" si="2">D20-100*0.006</f>
        <v>-2.085</v>
      </c>
      <c r="E21" t="s">
        <v>70</v>
      </c>
    </row>
    <row r="22" spans="1:5" x14ac:dyDescent="0.25">
      <c r="A22" t="s">
        <v>24</v>
      </c>
      <c r="B22">
        <v>150</v>
      </c>
      <c r="C22">
        <v>-350</v>
      </c>
      <c r="D22">
        <f t="shared" si="2"/>
        <v>-2.6850000000000001</v>
      </c>
      <c r="E22" t="s">
        <v>70</v>
      </c>
    </row>
    <row r="23" spans="1:5" x14ac:dyDescent="0.25">
      <c r="A23" t="s">
        <v>25</v>
      </c>
      <c r="B23">
        <v>150</v>
      </c>
      <c r="C23">
        <v>-450</v>
      </c>
      <c r="D23">
        <f t="shared" si="2"/>
        <v>-3.2850000000000001</v>
      </c>
      <c r="E23" t="s">
        <v>70</v>
      </c>
    </row>
    <row r="24" spans="1:5" x14ac:dyDescent="0.25">
      <c r="A24" t="s">
        <v>26</v>
      </c>
      <c r="B24">
        <v>150</v>
      </c>
      <c r="C24">
        <v>-550</v>
      </c>
      <c r="D24">
        <f t="shared" si="2"/>
        <v>-3.8850000000000002</v>
      </c>
      <c r="E24" t="s">
        <v>70</v>
      </c>
    </row>
    <row r="25" spans="1:5" x14ac:dyDescent="0.25">
      <c r="A25" t="s">
        <v>27</v>
      </c>
      <c r="B25">
        <v>250</v>
      </c>
      <c r="C25">
        <v>-50</v>
      </c>
      <c r="D25">
        <f>D5-50*0.006</f>
        <v>-1.2749999999999999</v>
      </c>
      <c r="E25" t="s">
        <v>70</v>
      </c>
    </row>
    <row r="26" spans="1:5" x14ac:dyDescent="0.25">
      <c r="A26" t="s">
        <v>28</v>
      </c>
      <c r="B26">
        <v>250</v>
      </c>
      <c r="C26">
        <v>-150</v>
      </c>
      <c r="D26">
        <f>D25-100*0.006</f>
        <v>-1.875</v>
      </c>
      <c r="E26" t="s">
        <v>70</v>
      </c>
    </row>
    <row r="27" spans="1:5" x14ac:dyDescent="0.25">
      <c r="A27" t="s">
        <v>29</v>
      </c>
      <c r="B27">
        <v>250</v>
      </c>
      <c r="C27">
        <v>-250</v>
      </c>
      <c r="D27">
        <f t="shared" ref="D27:D30" si="3">D26-100*0.006</f>
        <v>-2.4750000000000001</v>
      </c>
      <c r="E27" t="s">
        <v>70</v>
      </c>
    </row>
    <row r="28" spans="1:5" x14ac:dyDescent="0.25">
      <c r="A28" t="s">
        <v>30</v>
      </c>
      <c r="B28">
        <v>250</v>
      </c>
      <c r="C28">
        <v>-350</v>
      </c>
      <c r="D28">
        <f t="shared" si="3"/>
        <v>-3.0750000000000002</v>
      </c>
      <c r="E28" t="s">
        <v>70</v>
      </c>
    </row>
    <row r="29" spans="1:5" x14ac:dyDescent="0.25">
      <c r="A29" t="s">
        <v>31</v>
      </c>
      <c r="B29">
        <v>250</v>
      </c>
      <c r="C29">
        <v>-450</v>
      </c>
      <c r="D29">
        <f t="shared" si="3"/>
        <v>-3.6750000000000003</v>
      </c>
      <c r="E29" t="s">
        <v>70</v>
      </c>
    </row>
    <row r="30" spans="1:5" x14ac:dyDescent="0.25">
      <c r="A30" t="s">
        <v>32</v>
      </c>
      <c r="B30">
        <v>250</v>
      </c>
      <c r="C30">
        <v>-550</v>
      </c>
      <c r="D30">
        <f t="shared" si="3"/>
        <v>-4.2750000000000004</v>
      </c>
      <c r="E30" t="s">
        <v>70</v>
      </c>
    </row>
    <row r="31" spans="1:5" x14ac:dyDescent="0.25">
      <c r="A31" t="s">
        <v>33</v>
      </c>
      <c r="B31">
        <v>350</v>
      </c>
      <c r="C31">
        <v>-50</v>
      </c>
      <c r="D31">
        <f>D6-0.006*50</f>
        <v>-1.6649999999999998</v>
      </c>
      <c r="E31" t="s">
        <v>70</v>
      </c>
    </row>
    <row r="32" spans="1:5" x14ac:dyDescent="0.25">
      <c r="A32" t="s">
        <v>34</v>
      </c>
      <c r="B32">
        <v>350</v>
      </c>
      <c r="C32">
        <v>-150</v>
      </c>
      <c r="D32">
        <f>D31-100*0.006</f>
        <v>-2.2649999999999997</v>
      </c>
      <c r="E32" t="s">
        <v>70</v>
      </c>
    </row>
    <row r="33" spans="1:5" x14ac:dyDescent="0.25">
      <c r="A33" t="s">
        <v>35</v>
      </c>
      <c r="B33">
        <v>350</v>
      </c>
      <c r="C33">
        <v>-250</v>
      </c>
      <c r="D33">
        <f t="shared" ref="D33:D36" si="4">D32-100*0.006</f>
        <v>-2.8649999999999998</v>
      </c>
      <c r="E33" t="s">
        <v>70</v>
      </c>
    </row>
    <row r="34" spans="1:5" x14ac:dyDescent="0.25">
      <c r="A34" t="s">
        <v>36</v>
      </c>
      <c r="B34">
        <v>350</v>
      </c>
      <c r="C34">
        <v>-350</v>
      </c>
      <c r="D34">
        <f t="shared" si="4"/>
        <v>-3.4649999999999999</v>
      </c>
      <c r="E34" t="s">
        <v>70</v>
      </c>
    </row>
    <row r="35" spans="1:5" x14ac:dyDescent="0.25">
      <c r="A35" t="s">
        <v>37</v>
      </c>
      <c r="B35">
        <v>350</v>
      </c>
      <c r="C35">
        <v>-450</v>
      </c>
      <c r="D35">
        <f t="shared" si="4"/>
        <v>-4.0649999999999995</v>
      </c>
      <c r="E35" t="s">
        <v>70</v>
      </c>
    </row>
    <row r="36" spans="1:5" x14ac:dyDescent="0.25">
      <c r="A36" t="s">
        <v>38</v>
      </c>
      <c r="B36">
        <v>350</v>
      </c>
      <c r="C36">
        <v>-550</v>
      </c>
      <c r="D36">
        <f t="shared" si="4"/>
        <v>-4.6649999999999991</v>
      </c>
      <c r="E36" t="s">
        <v>70</v>
      </c>
    </row>
    <row r="37" spans="1:5" x14ac:dyDescent="0.25">
      <c r="A37" t="s">
        <v>39</v>
      </c>
      <c r="B37">
        <v>450</v>
      </c>
      <c r="C37">
        <v>-50</v>
      </c>
      <c r="D37">
        <f>D7-0.006*50</f>
        <v>-2.0549999999999997</v>
      </c>
      <c r="E37" t="s">
        <v>70</v>
      </c>
    </row>
    <row r="38" spans="1:5" x14ac:dyDescent="0.25">
      <c r="A38" t="s">
        <v>40</v>
      </c>
      <c r="B38">
        <v>450</v>
      </c>
      <c r="C38">
        <v>-150</v>
      </c>
      <c r="D38">
        <f>D37-0.006*100</f>
        <v>-2.6549999999999998</v>
      </c>
      <c r="E38" t="s">
        <v>70</v>
      </c>
    </row>
    <row r="39" spans="1:5" x14ac:dyDescent="0.25">
      <c r="A39" t="s">
        <v>41</v>
      </c>
      <c r="B39">
        <v>450</v>
      </c>
      <c r="C39">
        <v>-250</v>
      </c>
      <c r="D39">
        <f t="shared" ref="D39:D42" si="5">D38-0.006*100</f>
        <v>-3.2549999999999999</v>
      </c>
      <c r="E39" t="s">
        <v>70</v>
      </c>
    </row>
    <row r="40" spans="1:5" x14ac:dyDescent="0.25">
      <c r="A40" t="s">
        <v>42</v>
      </c>
      <c r="B40">
        <v>450</v>
      </c>
      <c r="C40">
        <v>-350</v>
      </c>
      <c r="D40">
        <f t="shared" si="5"/>
        <v>-3.855</v>
      </c>
      <c r="E40" t="s">
        <v>70</v>
      </c>
    </row>
    <row r="41" spans="1:5" x14ac:dyDescent="0.25">
      <c r="A41" t="s">
        <v>43</v>
      </c>
      <c r="B41">
        <v>450</v>
      </c>
      <c r="C41">
        <v>-450</v>
      </c>
      <c r="D41">
        <f t="shared" si="5"/>
        <v>-4.4550000000000001</v>
      </c>
      <c r="E41" t="s">
        <v>70</v>
      </c>
    </row>
    <row r="42" spans="1:5" x14ac:dyDescent="0.25">
      <c r="A42" t="s">
        <v>44</v>
      </c>
      <c r="B42">
        <v>450</v>
      </c>
      <c r="C42">
        <v>-550</v>
      </c>
      <c r="D42">
        <f t="shared" si="5"/>
        <v>-5.0549999999999997</v>
      </c>
      <c r="E42" t="s">
        <v>70</v>
      </c>
    </row>
    <row r="43" spans="1:5" x14ac:dyDescent="0.25">
      <c r="A43" t="s">
        <v>45</v>
      </c>
      <c r="B43">
        <v>550</v>
      </c>
      <c r="C43">
        <v>-50</v>
      </c>
      <c r="D43">
        <f>D8-0.006*50</f>
        <v>-2.4449999999999994</v>
      </c>
      <c r="E43" t="s">
        <v>70</v>
      </c>
    </row>
    <row r="44" spans="1:5" x14ac:dyDescent="0.25">
      <c r="A44" t="s">
        <v>46</v>
      </c>
      <c r="B44">
        <v>550</v>
      </c>
      <c r="C44">
        <v>-150</v>
      </c>
      <c r="D44">
        <f>D43-0.006*100</f>
        <v>-3.0449999999999995</v>
      </c>
      <c r="E44" t="s">
        <v>70</v>
      </c>
    </row>
    <row r="45" spans="1:5" x14ac:dyDescent="0.25">
      <c r="A45" t="s">
        <v>47</v>
      </c>
      <c r="B45">
        <v>550</v>
      </c>
      <c r="C45">
        <v>-250</v>
      </c>
      <c r="D45">
        <f t="shared" ref="D45:D48" si="6">D44-0.006*100</f>
        <v>-3.6449999999999996</v>
      </c>
      <c r="E45" t="s">
        <v>70</v>
      </c>
    </row>
    <row r="46" spans="1:5" x14ac:dyDescent="0.25">
      <c r="A46" t="s">
        <v>48</v>
      </c>
      <c r="B46">
        <v>550</v>
      </c>
      <c r="C46">
        <v>-350</v>
      </c>
      <c r="D46">
        <f t="shared" si="6"/>
        <v>-4.2449999999999992</v>
      </c>
      <c r="E46" t="s">
        <v>70</v>
      </c>
    </row>
    <row r="47" spans="1:5" x14ac:dyDescent="0.25">
      <c r="A47" t="s">
        <v>49</v>
      </c>
      <c r="B47">
        <v>550</v>
      </c>
      <c r="C47">
        <v>-450</v>
      </c>
      <c r="D47">
        <f t="shared" si="6"/>
        <v>-4.8449999999999989</v>
      </c>
      <c r="E47" t="s">
        <v>70</v>
      </c>
    </row>
    <row r="48" spans="1:5" x14ac:dyDescent="0.25">
      <c r="A48" t="s">
        <v>50</v>
      </c>
      <c r="B48">
        <v>550</v>
      </c>
      <c r="C48">
        <v>-550</v>
      </c>
      <c r="D48">
        <f t="shared" si="6"/>
        <v>-5.4449999999999985</v>
      </c>
      <c r="E48" t="s">
        <v>70</v>
      </c>
    </row>
    <row r="49" spans="1:5" x14ac:dyDescent="0.25">
      <c r="A49" t="s">
        <v>51</v>
      </c>
      <c r="B49">
        <v>650</v>
      </c>
      <c r="C49">
        <v>-50</v>
      </c>
      <c r="D49">
        <f>D9-0.006*50</f>
        <v>-2.8349999999999995</v>
      </c>
      <c r="E49" t="s">
        <v>70</v>
      </c>
    </row>
    <row r="50" spans="1:5" x14ac:dyDescent="0.25">
      <c r="A50" t="s">
        <v>52</v>
      </c>
      <c r="B50">
        <v>650</v>
      </c>
      <c r="C50">
        <v>-150</v>
      </c>
      <c r="D50">
        <f>D49-0.006*100</f>
        <v>-3.4349999999999996</v>
      </c>
      <c r="E50" t="s">
        <v>70</v>
      </c>
    </row>
    <row r="51" spans="1:5" x14ac:dyDescent="0.25">
      <c r="A51" t="s">
        <v>53</v>
      </c>
      <c r="B51">
        <v>650</v>
      </c>
      <c r="C51">
        <v>-250</v>
      </c>
      <c r="D51">
        <f t="shared" ref="D51:D54" si="7">D50-0.006*100</f>
        <v>-4.0349999999999993</v>
      </c>
      <c r="E51" t="s">
        <v>70</v>
      </c>
    </row>
    <row r="52" spans="1:5" x14ac:dyDescent="0.25">
      <c r="A52" t="s">
        <v>54</v>
      </c>
      <c r="B52">
        <v>650</v>
      </c>
      <c r="C52">
        <v>-350</v>
      </c>
      <c r="D52">
        <f t="shared" si="7"/>
        <v>-4.6349999999999989</v>
      </c>
      <c r="E52" t="s">
        <v>70</v>
      </c>
    </row>
    <row r="53" spans="1:5" x14ac:dyDescent="0.25">
      <c r="A53" t="s">
        <v>55</v>
      </c>
      <c r="B53">
        <v>650</v>
      </c>
      <c r="C53">
        <v>-450</v>
      </c>
      <c r="D53">
        <f t="shared" si="7"/>
        <v>-5.2349999999999985</v>
      </c>
      <c r="E53" t="s">
        <v>70</v>
      </c>
    </row>
    <row r="54" spans="1:5" x14ac:dyDescent="0.25">
      <c r="A54" t="s">
        <v>56</v>
      </c>
      <c r="B54">
        <v>650</v>
      </c>
      <c r="C54">
        <v>-550</v>
      </c>
      <c r="D54">
        <f t="shared" si="7"/>
        <v>-5.8349999999999982</v>
      </c>
      <c r="E54" t="s">
        <v>70</v>
      </c>
    </row>
    <row r="55" spans="1:5" x14ac:dyDescent="0.25">
      <c r="A55" t="s">
        <v>57</v>
      </c>
      <c r="B55">
        <v>750</v>
      </c>
      <c r="C55">
        <v>-50</v>
      </c>
      <c r="D55">
        <f>D10-0.006*50</f>
        <v>-3.2249999999999996</v>
      </c>
      <c r="E55" t="s">
        <v>70</v>
      </c>
    </row>
    <row r="56" spans="1:5" x14ac:dyDescent="0.25">
      <c r="A56" t="s">
        <v>58</v>
      </c>
      <c r="B56">
        <v>750</v>
      </c>
      <c r="C56">
        <v>-150</v>
      </c>
      <c r="D56">
        <f>D55-0.006*100</f>
        <v>-3.8249999999999997</v>
      </c>
      <c r="E56" t="s">
        <v>70</v>
      </c>
    </row>
    <row r="57" spans="1:5" x14ac:dyDescent="0.25">
      <c r="A57" t="s">
        <v>59</v>
      </c>
      <c r="B57">
        <v>750</v>
      </c>
      <c r="C57">
        <v>-250</v>
      </c>
      <c r="D57">
        <f t="shared" ref="D57:D60" si="8">D56-0.006*100</f>
        <v>-4.4249999999999998</v>
      </c>
      <c r="E57" t="s">
        <v>70</v>
      </c>
    </row>
    <row r="58" spans="1:5" x14ac:dyDescent="0.25">
      <c r="A58" t="s">
        <v>60</v>
      </c>
      <c r="B58">
        <v>750</v>
      </c>
      <c r="C58">
        <v>-350</v>
      </c>
      <c r="D58">
        <f t="shared" si="8"/>
        <v>-5.0249999999999995</v>
      </c>
      <c r="E58" t="s">
        <v>70</v>
      </c>
    </row>
    <row r="59" spans="1:5" x14ac:dyDescent="0.25">
      <c r="A59" t="s">
        <v>61</v>
      </c>
      <c r="B59">
        <v>750</v>
      </c>
      <c r="C59">
        <v>-450</v>
      </c>
      <c r="D59">
        <f t="shared" si="8"/>
        <v>-5.6249999999999991</v>
      </c>
      <c r="E59" t="s">
        <v>70</v>
      </c>
    </row>
    <row r="60" spans="1:5" x14ac:dyDescent="0.25">
      <c r="A60" t="s">
        <v>62</v>
      </c>
      <c r="B60">
        <v>750</v>
      </c>
      <c r="C60">
        <v>-550</v>
      </c>
      <c r="D60">
        <f t="shared" si="8"/>
        <v>-6.2249999999999988</v>
      </c>
      <c r="E60" t="s">
        <v>70</v>
      </c>
    </row>
    <row r="61" spans="1:5" x14ac:dyDescent="0.25">
      <c r="A61" t="s">
        <v>63</v>
      </c>
      <c r="B61">
        <v>850</v>
      </c>
      <c r="C61">
        <v>-50</v>
      </c>
      <c r="D61">
        <f>D11-0.006*50</f>
        <v>-3.6149999999999998</v>
      </c>
      <c r="E61" t="s">
        <v>70</v>
      </c>
    </row>
    <row r="62" spans="1:5" x14ac:dyDescent="0.25">
      <c r="A62" t="s">
        <v>64</v>
      </c>
      <c r="B62">
        <v>850</v>
      </c>
      <c r="C62">
        <v>-150</v>
      </c>
      <c r="D62">
        <f>D61-0.006*100</f>
        <v>-4.2149999999999999</v>
      </c>
      <c r="E62" t="s">
        <v>70</v>
      </c>
    </row>
    <row r="63" spans="1:5" x14ac:dyDescent="0.25">
      <c r="A63" t="s">
        <v>65</v>
      </c>
      <c r="B63">
        <v>850</v>
      </c>
      <c r="C63">
        <v>-250</v>
      </c>
      <c r="D63">
        <f t="shared" ref="D63:D66" si="9">D62-0.006*100</f>
        <v>-4.8149999999999995</v>
      </c>
      <c r="E63" t="s">
        <v>70</v>
      </c>
    </row>
    <row r="64" spans="1:5" x14ac:dyDescent="0.25">
      <c r="A64" t="s">
        <v>66</v>
      </c>
      <c r="B64">
        <v>850</v>
      </c>
      <c r="C64">
        <v>-350</v>
      </c>
      <c r="D64">
        <f t="shared" si="9"/>
        <v>-5.4149999999999991</v>
      </c>
      <c r="E64" t="s">
        <v>70</v>
      </c>
    </row>
    <row r="65" spans="1:5" x14ac:dyDescent="0.25">
      <c r="A65" t="s">
        <v>67</v>
      </c>
      <c r="B65">
        <v>850</v>
      </c>
      <c r="C65">
        <v>-450</v>
      </c>
      <c r="D65">
        <f t="shared" si="9"/>
        <v>-6.0149999999999988</v>
      </c>
      <c r="E65" t="s">
        <v>70</v>
      </c>
    </row>
    <row r="66" spans="1:5" x14ac:dyDescent="0.25">
      <c r="A66" t="s">
        <v>68</v>
      </c>
      <c r="B66">
        <v>850</v>
      </c>
      <c r="C66">
        <v>-550</v>
      </c>
      <c r="D66">
        <f t="shared" si="9"/>
        <v>-6.6149999999999984</v>
      </c>
      <c r="E66" t="s">
        <v>70</v>
      </c>
    </row>
    <row r="67" spans="1:5" x14ac:dyDescent="0.25">
      <c r="A67" t="s">
        <v>71</v>
      </c>
      <c r="B67">
        <v>950</v>
      </c>
      <c r="C67">
        <v>-50</v>
      </c>
      <c r="D67">
        <f>D12-0.006*50</f>
        <v>-4.0049999999999999</v>
      </c>
      <c r="E67" t="s">
        <v>70</v>
      </c>
    </row>
    <row r="68" spans="1:5" x14ac:dyDescent="0.25">
      <c r="A68" t="s">
        <v>72</v>
      </c>
      <c r="B68">
        <v>950</v>
      </c>
      <c r="C68">
        <v>-150</v>
      </c>
      <c r="D68">
        <f>D67-0.006*100</f>
        <v>-4.6049999999999995</v>
      </c>
      <c r="E68" t="s">
        <v>70</v>
      </c>
    </row>
    <row r="69" spans="1:5" x14ac:dyDescent="0.25">
      <c r="A69" t="s">
        <v>73</v>
      </c>
      <c r="B69">
        <v>950</v>
      </c>
      <c r="C69">
        <v>-250</v>
      </c>
      <c r="D69">
        <f t="shared" ref="D69:D72" si="10">D68-0.006*100</f>
        <v>-5.2049999999999992</v>
      </c>
      <c r="E69" t="s">
        <v>70</v>
      </c>
    </row>
    <row r="70" spans="1:5" x14ac:dyDescent="0.25">
      <c r="A70" t="s">
        <v>74</v>
      </c>
      <c r="B70">
        <v>950</v>
      </c>
      <c r="C70">
        <v>-350</v>
      </c>
      <c r="D70">
        <f t="shared" si="10"/>
        <v>-5.8049999999999988</v>
      </c>
      <c r="E70" t="s">
        <v>70</v>
      </c>
    </row>
    <row r="71" spans="1:5" x14ac:dyDescent="0.25">
      <c r="A71" t="s">
        <v>75</v>
      </c>
      <c r="B71">
        <v>950</v>
      </c>
      <c r="C71">
        <v>-450</v>
      </c>
      <c r="D71">
        <f t="shared" si="10"/>
        <v>-6.4049999999999985</v>
      </c>
      <c r="E71" t="s">
        <v>70</v>
      </c>
    </row>
    <row r="72" spans="1:5" x14ac:dyDescent="0.25">
      <c r="A72" t="s">
        <v>76</v>
      </c>
      <c r="B72">
        <v>950</v>
      </c>
      <c r="C72">
        <v>-550</v>
      </c>
      <c r="D72">
        <f t="shared" si="10"/>
        <v>-7.0049999999999981</v>
      </c>
      <c r="E72" t="s">
        <v>70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千禧 李</cp:lastModifiedBy>
  <dcterms:created xsi:type="dcterms:W3CDTF">2015-06-05T18:19:34Z</dcterms:created>
  <dcterms:modified xsi:type="dcterms:W3CDTF">2025-12-19T03:46:57Z</dcterms:modified>
</cp:coreProperties>
</file>